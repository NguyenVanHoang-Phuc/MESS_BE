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Tổng Quan" sheetId="1" state="visible" r:id="rId3"/>
    <sheet name="📅 Lịch Trình" sheetId="2" state="visible" r:id="rId4"/>
    <sheet name="💰 Chi Phí" sheetId="3" state="visible" r:id="rId5"/>
    <sheet name="🧳 Hành Lý" sheetId="4" state="visible" r:id="rId6"/>
    <sheet name="📞 Liên Hệ &amp; Đặt Chỗ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<sst xmlns="http://schemas.openxmlformats.org/spreadsheetml/2006/main" count="409" uniqueCount="308">
  <si>
    <t xml:space="preserve">✈  KẾ HOẠCH DU LỊCH THỦ CÔNG  ✈</t>
  </si>
  <si>
    <t xml:space="preserve">Hà Nội  →  Đà Nẵng  →  Hội An  |  5 Ngày 4 Đêm  |  4 Người</t>
  </si>
  <si>
    <t xml:space="preserve">Điểm khởi hành</t>
  </si>
  <si>
    <t xml:space="preserve">Hà Nội</t>
  </si>
  <si>
    <t xml:space="preserve">Điểm đến</t>
  </si>
  <si>
    <t xml:space="preserve">Đà Nẵng / Hội An</t>
  </si>
  <si>
    <t xml:space="preserve">Ngày đi</t>
  </si>
  <si>
    <t xml:space="preserve">15/07/2025</t>
  </si>
  <si>
    <t xml:space="preserve">Ngày về</t>
  </si>
  <si>
    <t xml:space="preserve">19/07/2025</t>
  </si>
  <si>
    <t xml:space="preserve">Số người lớn</t>
  </si>
  <si>
    <t xml:space="preserve">3</t>
  </si>
  <si>
    <t xml:space="preserve">Số trẻ em</t>
  </si>
  <si>
    <t xml:space="preserve">1</t>
  </si>
  <si>
    <t xml:space="preserve">Tổng ngân sách</t>
  </si>
  <si>
    <t xml:space="preserve">(xem sheet Chi Phí)</t>
  </si>
  <si>
    <t xml:space="preserve">Đã đặt cọc</t>
  </si>
  <si>
    <t xml:space="preserve">2,500,000 VNĐ</t>
  </si>
  <si>
    <t xml:space="preserve">Trạng thái</t>
  </si>
  <si>
    <t xml:space="preserve">Đang lập kế hoạch</t>
  </si>
  <si>
    <t xml:space="preserve">Cập nhật lần cuối</t>
  </si>
  <si>
    <t xml:space="preserve">(nhập tay)</t>
  </si>
  <si>
    <t xml:space="preserve">⚠  LƯU Ý: File này phải được cập nhật THỦ CÔNG. Mỗi khi thay đổi giá vé, khách sạn hay lịch trình, bạn phải tự sửa từng ô một. Không có tính năng tự động gợi ý, tối ưu lộ trình hay so sánh giá.</t>
  </si>
  <si>
    <t xml:space="preserve">Ngày</t>
  </si>
  <si>
    <t xml:space="preserve">Giờ</t>
  </si>
  <si>
    <t xml:space="preserve">Hoạt Động</t>
  </si>
  <si>
    <t xml:space="preserve">Mô Tả Chi Tiết</t>
  </si>
  <si>
    <t xml:space="preserve">Địa Điểm / Địa Chỉ</t>
  </si>
  <si>
    <t xml:space="preserve">Phương Tiện</t>
  </si>
  <si>
    <t xml:space="preserve">Ghi Chú</t>
  </si>
  <si>
    <t xml:space="preserve">NGÀY 1
15/07</t>
  </si>
  <si>
    <t xml:space="preserve">05:00</t>
  </si>
  <si>
    <t xml:space="preserve">Tập trung, chuẩn bị</t>
  </si>
  <si>
    <t xml:space="preserve">Kiểm tra hành lý, giấy tờ, tiền mặt</t>
  </si>
  <si>
    <t xml:space="preserve">Nhà riêng – Hà Nội</t>
  </si>
  <si>
    <t xml:space="preserve">—</t>
  </si>
  <si>
    <t xml:space="preserve">⚠ Cần nhập tay danh sách hành lý ở sheet khác</t>
  </si>
  <si>
    <t xml:space="preserve">06:30</t>
  </si>
  <si>
    <t xml:space="preserve">Di chuyển ra sân bay</t>
  </si>
  <si>
    <t xml:space="preserve">Taxi / grab đến Nội Bài. Đặt trước 1 ngày</t>
  </si>
  <si>
    <t xml:space="preserve">Nội Bài (HAN)</t>
  </si>
  <si>
    <t xml:space="preserve">Taxi</t>
  </si>
  <si>
    <t xml:space="preserve">Giá taxi: ~250k–350k. Cần so sánh thủ công</t>
  </si>
  <si>
    <t xml:space="preserve">08:30</t>
  </si>
  <si>
    <t xml:space="preserve">Check-in hàng không</t>
  </si>
  <si>
    <t xml:space="preserve">In vé máy bay hoặc dùng app. Ký gửi hành lý</t>
  </si>
  <si>
    <t xml:space="preserve">Sân bay Nội Bài – Terminal 1</t>
  </si>
  <si>
    <t xml:space="preserve">Máy bay</t>
  </si>
  <si>
    <t xml:space="preserve">Mã đặt chỗ: (nhập tay)</t>
  </si>
  <si>
    <t xml:space="preserve">10:40</t>
  </si>
  <si>
    <t xml:space="preserve">Bay HAN → DAD</t>
  </si>
  <si>
    <t xml:space="preserve">Chuyến bay VN123 – khoảng 1h20p</t>
  </si>
  <si>
    <t xml:space="preserve">Đà Nẵng (DAD)</t>
  </si>
  <si>
    <t xml:space="preserve">⚠ Cần tự theo dõi thay đổi giờ bay</t>
  </si>
  <si>
    <t xml:space="preserve">12:10</t>
  </si>
  <si>
    <t xml:space="preserve">Đón xe về khách sạn</t>
  </si>
  <si>
    <t xml:space="preserve">Xe đón sân bay hoặc Grab Đà Nẵng</t>
  </si>
  <si>
    <t xml:space="preserve">Khách sạn Mường Thanh – 60 Trần Phú</t>
  </si>
  <si>
    <t xml:space="preserve">Grab</t>
  </si>
  <si>
    <t xml:space="preserve">Giá ước tính: 80k–120k (nhập tay)</t>
  </si>
  <si>
    <t xml:space="preserve">14:00</t>
  </si>
  <si>
    <t xml:space="preserve">Nhận phòng &amp; nghỉ ngơi</t>
  </si>
  <si>
    <t xml:space="preserve">Check-in khách sạn. Để hành lý, ăn trưa</t>
  </si>
  <si>
    <t xml:space="preserve">Khách sạn Mường Thanh</t>
  </si>
  <si>
    <t xml:space="preserve">Xác nhận phòng: (gọi điện thủ công)</t>
  </si>
  <si>
    <t xml:space="preserve">16:00</t>
  </si>
  <si>
    <t xml:space="preserve">Tham quan Bãi Biển Mỹ Khê</t>
  </si>
  <si>
    <t xml:space="preserve">Đi bộ dọc bờ biển, chụp ảnh, thư giãn</t>
  </si>
  <si>
    <t xml:space="preserve">Bãi Biển Mỹ Khê – Đà Nẵng</t>
  </si>
  <si>
    <t xml:space="preserve">Đi bộ</t>
  </si>
  <si>
    <t xml:space="preserve">Thời tiết: (kiểm tra app riêng)</t>
  </si>
  <si>
    <t xml:space="preserve">19:00</t>
  </si>
  <si>
    <t xml:space="preserve">Ăn tối – Hải sản</t>
  </si>
  <si>
    <t xml:space="preserve">Nhà hàng hải sản Bé Mặn hoặc tương đương</t>
  </si>
  <si>
    <t xml:space="preserve">Đường Ngô Quyền, Đà Nẵng</t>
  </si>
  <si>
    <t xml:space="preserve">Xe máy thuê</t>
  </si>
  <si>
    <t xml:space="preserve">Gọi đặt bàn trước: 0236-xxx-xxxx (nhập tay)</t>
  </si>
  <si>
    <t xml:space="preserve">NGÀY 2
16/07</t>
  </si>
  <si>
    <t xml:space="preserve">07:00</t>
  </si>
  <si>
    <t xml:space="preserve">Ăn sáng tại khách sạn</t>
  </si>
  <si>
    <t xml:space="preserve">Buffet sáng included</t>
  </si>
  <si>
    <t xml:space="preserve">Khách sạn</t>
  </si>
  <si>
    <t xml:space="preserve">Tham quan Ngũ Hành Sơn</t>
  </si>
  <si>
    <t xml:space="preserve">5 ngọn núi đá vôi. Leo bộ ~2 giờ. Mua vé cổng</t>
  </si>
  <si>
    <t xml:space="preserve">Ngũ Hành Sơn – Đà Nẵng</t>
  </si>
  <si>
    <t xml:space="preserve">Vé vào cổng: 40k/người → tổng 4 người = 160k
⚠ Nhập tay vào sheet Chi Phí</t>
  </si>
  <si>
    <t xml:space="preserve">11:00</t>
  </si>
  <si>
    <t xml:space="preserve">Tham quan Chùa Linh Ứng</t>
  </si>
  <si>
    <t xml:space="preserve">Chùa lớn, tượng Phật bà cao 67m, view biển đẹp</t>
  </si>
  <si>
    <t xml:space="preserve">Bán đảo Sơn Trà</t>
  </si>
  <si>
    <t xml:space="preserve">Tự đọc bản đồ Google Maps</t>
  </si>
  <si>
    <t xml:space="preserve">13:00</t>
  </si>
  <si>
    <t xml:space="preserve">Ăn trưa – Bún chả cá</t>
  </si>
  <si>
    <t xml:space="preserve">Đặc sản Đà Nẵng. Chọn quán theo review thủ công</t>
  </si>
  <si>
    <t xml:space="preserve">Khu vực Sơn Trà</t>
  </si>
  <si>
    <t xml:space="preserve">⚠ Cần tự tìm kiếm quán ngon trên Foody/Google</t>
  </si>
  <si>
    <t xml:space="preserve">15:00</t>
  </si>
  <si>
    <t xml:space="preserve">Cầu Rồng &amp; Cầu Tình Yêu</t>
  </si>
  <si>
    <t xml:space="preserve">Chụp ảnh, tham quan khu trung tâm</t>
  </si>
  <si>
    <t xml:space="preserve">Cầu Rồng – Đà Nẵng</t>
  </si>
  <si>
    <t xml:space="preserve">20:30</t>
  </si>
  <si>
    <t xml:space="preserve">Xem Cầu Rồng phun lửa</t>
  </si>
  <si>
    <t xml:space="preserve">Chỉ vào Thứ 7 &amp; Chủ nhật. Kiểm tra lịch thủ công!</t>
  </si>
  <si>
    <t xml:space="preserve">Cầu Rồng</t>
  </si>
  <si>
    <t xml:space="preserve">⚠ Nếu không phải cuối tuần → bỏ mục này,
cập nhật lịch tay</t>
  </si>
  <si>
    <t xml:space="preserve">NGÀY 3
17/07</t>
  </si>
  <si>
    <t xml:space="preserve">08:00</t>
  </si>
  <si>
    <t xml:space="preserve">Di chuyển Đà Nẵng → Hội An</t>
  </si>
  <si>
    <t xml:space="preserve">Khoảng 30km, đi xe máy thuê hoặc xe khách</t>
  </si>
  <si>
    <t xml:space="preserve">Hội An – Quảng Nam</t>
  </si>
  <si>
    <t xml:space="preserve">Tự tra cứu đường đi, không có điều hướng tích hợp</t>
  </si>
  <si>
    <t xml:space="preserve">09:30</t>
  </si>
  <si>
    <t xml:space="preserve">Tham quan Phố Cổ Hội An</t>
  </si>
  <si>
    <t xml:space="preserve">Chùa Cầu, Hội quán Phúc Kiến, nhà cổ Tấn Ký...</t>
  </si>
  <si>
    <t xml:space="preserve">Phố Cổ Hội An</t>
  </si>
  <si>
    <t xml:space="preserve">Vé phố cổ: 120k/người → 480k tổng
⚠ Nhập tay vào Chi Phí</t>
  </si>
  <si>
    <t xml:space="preserve">12:30</t>
  </si>
  <si>
    <t xml:space="preserve">Ăn trưa Cao Lầu / Mì Quảng</t>
  </si>
  <si>
    <t xml:space="preserve">Đặc sản Hội An. Quán Phượng hoặc tương đương</t>
  </si>
  <si>
    <t xml:space="preserve">⚠ Tìm quán thủ công, không có gợi ý tự động</t>
  </si>
  <si>
    <t xml:space="preserve">14:30</t>
  </si>
  <si>
    <t xml:space="preserve">Làng rau Trà Quế</t>
  </si>
  <si>
    <t xml:space="preserve">Trải nghiệm làm nông dân, tour 2 tiếng</t>
  </si>
  <si>
    <t xml:space="preserve">Làng Trà Quế – Hội An</t>
  </si>
  <si>
    <t xml:space="preserve">Xe đạp thuê</t>
  </si>
  <si>
    <t xml:space="preserve">Đặt tour trước: gọi trực tiếp 0235-xxx
(nhập số điện thoại thủ công)</t>
  </si>
  <si>
    <t xml:space="preserve">Thả đèn lồng trên sông Hoài</t>
  </si>
  <si>
    <t xml:space="preserve">Mua đèn lồng 20k–30k/cái. Đi thuyền ~50k/người</t>
  </si>
  <si>
    <t xml:space="preserve">Bờ sông Hoài – Hội An</t>
  </si>
  <si>
    <t xml:space="preserve">Thuyền</t>
  </si>
  <si>
    <t xml:space="preserve">⚠ Thời tiết xấu → hủy, cập nhật lịch tay</t>
  </si>
  <si>
    <t xml:space="preserve">NGÀY 4
18/07</t>
  </si>
  <si>
    <t xml:space="preserve">09:00</t>
  </si>
  <si>
    <t xml:space="preserve">Tự do mua sắm Hội An</t>
  </si>
  <si>
    <t xml:space="preserve">May áo dài đo ni, mua đèn lồng, đồ lưu niệm</t>
  </si>
  <si>
    <t xml:space="preserve">Giá may áo: 300k–800k/bộ
⚠ Cần mặc cả, nhập chi phí tay</t>
  </si>
  <si>
    <t xml:space="preserve">Ăn trưa &amp; nghỉ</t>
  </si>
  <si>
    <t xml:space="preserve">Bánh mì Phượng – nổi tiếng Hội An</t>
  </si>
  <si>
    <t xml:space="preserve">22 Trần Cao Vân, Hội An</t>
  </si>
  <si>
    <t xml:space="preserve">Di chuyển về Đà Nẵng</t>
  </si>
  <si>
    <t xml:space="preserve">Trả xe máy, về khách sạn, dọn hành lý</t>
  </si>
  <si>
    <t xml:space="preserve">Đà Nẵng</t>
  </si>
  <si>
    <t xml:space="preserve">⚠ Nhớ kiểm tra hành lý, không bỏ sót đồ</t>
  </si>
  <si>
    <t xml:space="preserve">19:30</t>
  </si>
  <si>
    <t xml:space="preserve">Ăn tối &amp; mua sắm Vincom</t>
  </si>
  <si>
    <t xml:space="preserve">Tối cuối ở Đà Nẵng, mua quà</t>
  </si>
  <si>
    <t xml:space="preserve">Vincom Đà Nẵng</t>
  </si>
  <si>
    <t xml:space="preserve">NGÀY 5
19/07</t>
  </si>
  <si>
    <t xml:space="preserve">05:30</t>
  </si>
  <si>
    <t xml:space="preserve">Dậy sớm, chuẩn bị</t>
  </si>
  <si>
    <t xml:space="preserve">Dọn hành lý, check-out khách sạn</t>
  </si>
  <si>
    <t xml:space="preserve">Check-out trước 12:00, báo trước 1 ngày</t>
  </si>
  <si>
    <t xml:space="preserve">Ra sân bay</t>
  </si>
  <si>
    <t xml:space="preserve">Grab hoặc xe khách sạn ra sân bay Đà Nẵng</t>
  </si>
  <si>
    <t xml:space="preserve">Sân bay Đà Nẵng (DAD)</t>
  </si>
  <si>
    <t xml:space="preserve">⚠ Đặt xe trước, giờ cao điểm có thể kẹt</t>
  </si>
  <si>
    <t xml:space="preserve">Bay DAD → HAN</t>
  </si>
  <si>
    <t xml:space="preserve">Chuyến về VN456</t>
  </si>
  <si>
    <t xml:space="preserve">Sân bay Nội Bài (HAN)</t>
  </si>
  <si>
    <t xml:space="preserve">Kết thúc chuyến đi ✓</t>
  </si>
  <si>
    <t xml:space="preserve">Hạng Mục</t>
  </si>
  <si>
    <t xml:space="preserve">Chi Tiết</t>
  </si>
  <si>
    <t xml:space="preserve">Số Lượng</t>
  </si>
  <si>
    <t xml:space="preserve">Đơn Giá (VNĐ)</t>
  </si>
  <si>
    <t xml:space="preserve">Thành Tiền (VNĐ)</t>
  </si>
  <si>
    <t xml:space="preserve">Đã Thanh Toán</t>
  </si>
  <si>
    <t xml:space="preserve">VÉ MÁY BAY</t>
  </si>
  <si>
    <t xml:space="preserve">HAN→DAD (lượt đi)</t>
  </si>
  <si>
    <t xml:space="preserve">4</t>
  </si>
  <si>
    <t xml:space="preserve">1,850,000</t>
  </si>
  <si>
    <t xml:space="preserve">Chưa</t>
  </si>
  <si>
    <t xml:space="preserve">Vietjet / Vietnam Airlines
⚠ Giá thay đổi hằng ngày, nhập tay</t>
  </si>
  <si>
    <t xml:space="preserve">DAD→HAN (lượt về)</t>
  </si>
  <si>
    <t xml:space="preserve">1,650,000</t>
  </si>
  <si>
    <t xml:space="preserve">⚠ Cần theo dõi giá thủ công</t>
  </si>
  <si>
    <t xml:space="preserve">KHÁCH SẠN</t>
  </si>
  <si>
    <t xml:space="preserve">Mường Thanh – 3 đêm</t>
  </si>
  <si>
    <t xml:space="preserve">4,200,000</t>
  </si>
  <si>
    <t xml:space="preserve">Đã cọc</t>
  </si>
  <si>
    <t xml:space="preserve">Đã đặt. Xác nhận: (nhập mã)</t>
  </si>
  <si>
    <t xml:space="preserve">Phụ thu cuối tuần</t>
  </si>
  <si>
    <t xml:space="preserve">200,000</t>
  </si>
  <si>
    <t xml:space="preserve">⚠ Nhập tay sau khi xác nhận với KS</t>
  </si>
  <si>
    <t xml:space="preserve">DI CHUYỂN</t>
  </si>
  <si>
    <t xml:space="preserve">Taxi sân bay (2 chiều)</t>
  </si>
  <si>
    <t xml:space="preserve">2</t>
  </si>
  <si>
    <t xml:space="preserve">300,000</t>
  </si>
  <si>
    <t xml:space="preserve">Ước tính – giá thực tế có thể khác</t>
  </si>
  <si>
    <t xml:space="preserve">Thuê xe máy 3 ngày</t>
  </si>
  <si>
    <t xml:space="preserve">150,000</t>
  </si>
  <si>
    <t xml:space="preserve">150k/xe/ngày × 3 ngày × 2 xe</t>
  </si>
  <si>
    <t xml:space="preserve">Grab nội thành</t>
  </si>
  <si>
    <t xml:space="preserve">500,000</t>
  </si>
  <si>
    <t xml:space="preserve">Ước tính, nhập lại sau chuyến đi</t>
  </si>
  <si>
    <t xml:space="preserve">ĂN UỐNG</t>
  </si>
  <si>
    <t xml:space="preserve">Ăn sáng (5 ngày)</t>
  </si>
  <si>
    <t xml:space="preserve">60,000</t>
  </si>
  <si>
    <t xml:space="preserve">60k/người/ngày × 5 ngày × 4 người</t>
  </si>
  <si>
    <t xml:space="preserve">Ăn trưa (5 ngày)</t>
  </si>
  <si>
    <t xml:space="preserve">100,000</t>
  </si>
  <si>
    <t xml:space="preserve">⚠ Giá ước tính, nhập tay sau</t>
  </si>
  <si>
    <t xml:space="preserve">Ăn tối (5 ngày)</t>
  </si>
  <si>
    <t xml:space="preserve">THAM QUAN</t>
  </si>
  <si>
    <t xml:space="preserve">Ngũ Hành Sơn</t>
  </si>
  <si>
    <t xml:space="preserve">40,000</t>
  </si>
  <si>
    <t xml:space="preserve">40k/người</t>
  </si>
  <si>
    <t xml:space="preserve">Vé Phố Cổ Hội An</t>
  </si>
  <si>
    <t xml:space="preserve">120,000</t>
  </si>
  <si>
    <t xml:space="preserve">120k/người</t>
  </si>
  <si>
    <t xml:space="preserve">Tour Làng Trà Quế</t>
  </si>
  <si>
    <t xml:space="preserve">⚠ Giá chưa xác nhận</t>
  </si>
  <si>
    <t xml:space="preserve">Thuyền sông Hoài</t>
  </si>
  <si>
    <t xml:space="preserve">50,000</t>
  </si>
  <si>
    <t xml:space="preserve">50k/người</t>
  </si>
  <si>
    <t xml:space="preserve">MUA SẮM</t>
  </si>
  <si>
    <t xml:space="preserve">Quà lưu niệm &amp; đèn lồng</t>
  </si>
  <si>
    <t xml:space="preserve">⚠ Nhập lại sau chuyến đi</t>
  </si>
  <si>
    <t xml:space="preserve">May áo dài</t>
  </si>
  <si>
    <t xml:space="preserve">Ước tính 2 bộ</t>
  </si>
  <si>
    <t xml:space="preserve">DỰ PHÒNG</t>
  </si>
  <si>
    <t xml:space="preserve">Phát sinh ngoài dự kiến</t>
  </si>
  <si>
    <t xml:space="preserve">1,000,000</t>
  </si>
  <si>
    <t xml:space="preserve">⚠ Nhập tay bất kỳ phát sinh</t>
  </si>
  <si>
    <t xml:space="preserve">TỔNG CHI PHÍ DỰ KIẾN</t>
  </si>
  <si>
    <t xml:space="preserve">⚠  HƯỚNG DẪN SỬ DỤNG (Cách làm thủ công):
1. Mỗi khi giá vé thay đổi → mở file Excel → tìm đúng ô → sửa tay → lưu lại
2. Thêm chi phí phát sinh → tự chèn thêm hàng → nhập công thức tính tiền
3. Kiểm tra ngân sách → tự so sánh ô Tổng Chi Phí với số tiền có sẵn
4. KHÔNG có cảnh báo tự động khi vượt ngân sách. Phải tự kiểm tra!</t>
  </si>
  <si>
    <t xml:space="preserve">✓</t>
  </si>
  <si>
    <t xml:space="preserve">Vật Dụng</t>
  </si>
  <si>
    <t xml:space="preserve">GIẤY TỜ &amp; TIỀN</t>
  </si>
  <si>
    <t xml:space="preserve">□</t>
  </si>
  <si>
    <t xml:space="preserve">CMND / Hộ chiếu</t>
  </si>
  <si>
    <t xml:space="preserve">4 bộ</t>
  </si>
  <si>
    <t xml:space="preserve">⚠ Kiểm tra hạn sử dụng thủ công</t>
  </si>
  <si>
    <t xml:space="preserve">Vé máy bay (in hoặc app)</t>
  </si>
  <si>
    <t xml:space="preserve">In giấy dự phòng</t>
  </si>
  <si>
    <t xml:space="preserve">Xác nhận đặt phòng KS</t>
  </si>
  <si>
    <t xml:space="preserve">1 bản</t>
  </si>
  <si>
    <t xml:space="preserve">Print hoặc screenshot</t>
  </si>
  <si>
    <t xml:space="preserve">Tiền mặt VNĐ</t>
  </si>
  <si>
    <t xml:space="preserve">~5,000,000</t>
  </si>
  <si>
    <t xml:space="preserve">Rút ATM trước</t>
  </si>
  <si>
    <t xml:space="preserve">Thẻ ngân hàng</t>
  </si>
  <si>
    <t xml:space="preserve">1–2 thẻ</t>
  </si>
  <si>
    <t xml:space="preserve">QUẦN ÁO</t>
  </si>
  <si>
    <t xml:space="preserve">Quần áo thay (5 ngày)</t>
  </si>
  <si>
    <t xml:space="preserve">2 bộ/ngày</t>
  </si>
  <si>
    <t xml:space="preserve">⚠ Tự tính số lượng</t>
  </si>
  <si>
    <t xml:space="preserve">Áo tắm</t>
  </si>
  <si>
    <t xml:space="preserve">2 bộ</t>
  </si>
  <si>
    <t xml:space="preserve">Giày thể thao / sandal</t>
  </si>
  <si>
    <t xml:space="preserve">2 đôi</t>
  </si>
  <si>
    <t xml:space="preserve">Mũ / nón</t>
  </si>
  <si>
    <t xml:space="preserve">Nắng Đà Nẵng rất gay gắt</t>
  </si>
  <si>
    <t xml:space="preserve">ĐỒ DÙNG CÁ NHÂN</t>
  </si>
  <si>
    <t xml:space="preserve">Kem chống nắng SPF 50+</t>
  </si>
  <si>
    <t xml:space="preserve">2 tuýp</t>
  </si>
  <si>
    <t xml:space="preserve">Thuốc say xe / đau đầu</t>
  </si>
  <si>
    <t xml:space="preserve">1 hộp</t>
  </si>
  <si>
    <t xml:space="preserve">Bộ vệ sinh cá nhân</t>
  </si>
  <si>
    <t xml:space="preserve">1 bộ</t>
  </si>
  <si>
    <t xml:space="preserve">Sạc điện thoại &amp; dự phòng</t>
  </si>
  <si>
    <t xml:space="preserve">2 cái</t>
  </si>
  <si>
    <t xml:space="preserve">Adapter điện (nếu cần)</t>
  </si>
  <si>
    <t xml:space="preserve">THIẾT BỊ</t>
  </si>
  <si>
    <t xml:space="preserve">Điện thoại</t>
  </si>
  <si>
    <t xml:space="preserve">4 cái</t>
  </si>
  <si>
    <t xml:space="preserve">Kiểm tra pin đầy</t>
  </si>
  <si>
    <t xml:space="preserve">Máy ảnh / GoPro</t>
  </si>
  <si>
    <t xml:space="preserve">⚠ Nhớ sạc pin, đem thẻ nhớ</t>
  </si>
  <si>
    <t xml:space="preserve">Tai nghe</t>
  </si>
  <si>
    <t xml:space="preserve">1–2</t>
  </si>
  <si>
    <t xml:space="preserve">Sạc dự phòng (powerbank)</t>
  </si>
  <si>
    <t xml:space="preserve">⚠  Danh sách này phải cập nhật THỦ CÔNG mỗi chuyến đi. Không tự lưu ý, không nhắc nhở tự động.</t>
  </si>
  <si>
    <t xml:space="preserve">Dịch Vụ</t>
  </si>
  <si>
    <t xml:space="preserve">Tên / Đơn Vị</t>
  </si>
  <si>
    <t xml:space="preserve">Số Điện Thoại</t>
  </si>
  <si>
    <t xml:space="preserve">Trạng Thái</t>
  </si>
  <si>
    <t xml:space="preserve">Khách Sạn</t>
  </si>
  <si>
    <t xml:space="preserve">Mường Thanh Đà Nẵng</t>
  </si>
  <si>
    <t xml:space="preserve">0236-xxx-xxxx</t>
  </si>
  <si>
    <t xml:space="preserve">Mã đặt phòng: (nhập tay)</t>
  </si>
  <si>
    <t xml:space="preserve">Hàng Không</t>
  </si>
  <si>
    <t xml:space="preserve">Vietnam Airlines</t>
  </si>
  <si>
    <t xml:space="preserve">1900-1100</t>
  </si>
  <si>
    <t xml:space="preserve">Chưa mua vé</t>
  </si>
  <si>
    <t xml:space="preserve">⚠ Giá vé thay đổi → cập nhật thủ công</t>
  </si>
  <si>
    <t xml:space="preserve">Thuê Xe Máy</t>
  </si>
  <si>
    <t xml:space="preserve">Cửa hàng ABC Đà Nẵng</t>
  </si>
  <si>
    <t xml:space="preserve">Chưa đặt</t>
  </si>
  <si>
    <t xml:space="preserve">Cần gọi xác nhận trước 2 ngày</t>
  </si>
  <si>
    <t xml:space="preserve">Nhà Hàng 1</t>
  </si>
  <si>
    <t xml:space="preserve">Bé Mặn – Hải Sản</t>
  </si>
  <si>
    <t xml:space="preserve">Chưa đặt bàn</t>
  </si>
  <si>
    <t xml:space="preserve">⚠ Nhập tay sau khi gọi điện</t>
  </si>
  <si>
    <t xml:space="preserve">Tour Hội An</t>
  </si>
  <si>
    <t xml:space="preserve">Làng Trà Quế</t>
  </si>
  <si>
    <t xml:space="preserve">Cần đặt trước 1 ngày</t>
  </si>
  <si>
    <t xml:space="preserve">Xe Khách</t>
  </si>
  <si>
    <t xml:space="preserve">Tuyến ĐN → Hội An</t>
  </si>
  <si>
    <t xml:space="preserve">Hoặc tự thuê xe máy</t>
  </si>
  <si>
    <t xml:space="preserve">Bảo Hiểm</t>
  </si>
  <si>
    <t xml:space="preserve">(chưa mua)</t>
  </si>
  <si>
    <t xml:space="preserve">⚠ Chưa có BH</t>
  </si>
  <si>
    <t xml:space="preserve">⚠ Cần mua thủ công, tìm kiếm riêng</t>
  </si>
  <si>
    <t xml:space="preserve">Liên Hệ Khẩn</t>
  </si>
  <si>
    <t xml:space="preserve">Đại Sứ Quán / 112</t>
  </si>
  <si>
    <t xml:space="preserve">112</t>
  </si>
  <si>
    <t xml:space="preserve">Lưu vào điện thoại</t>
  </si>
  <si>
    <t xml:space="preserve">📌  TÓM TẮT NHỮNG VIỆC PHẢI LÀM THỦ CÔNG:
1. Theo dõi giá vé máy bay mỗi ngày → mở Excel → sửa tay
2. Gọi điện xác nhận từng dịch vụ (KS, xe, tour) → ghi chú tay vào file
3. Tính toán lại tổng chi phí mỗi khi có thay đổi → sửa công thức
4. Kiểm tra thời tiết thủ công trên app khác → quay lại file ghi chú
5. Cập nhật lịch trình nếu có thay đổi chuyến bay/địa điểm → sửa từng ô
⚠  KHÔNG có hệ thống nào tự động làm những việc trên thay bạn!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</si>
</sst>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7F6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EEAF1"/>
      </patternFill>
    </fill>
    <fill>
      <patternFill patternType="solid">
        <fgColor rgb="FFDEEAF1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F4B942"/>
        <bgColor rgb="FFFFCC9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 diagonalUp="false" diagonalDown="false">
      <left style="medium">
        <color rgb="FF1F4E79"/>
      </left>
      <right/>
      <top style="medium">
        <color rgb="FF1F4E79"/>
      </top>
      <bottom/>
      <diagonal/>
    </border>
    <border diagonalUp="false" diagonalDown="false">
      <left style="medium">
        <color rgb="FF1F4E79"/>
      </left>
      <right style="thin">
        <color rgb="FF9DC3E6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9DC3E6"/>
      </left>
      <right style="thin">
        <color rgb="FF9DC3E6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9DC3E6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medium">
        <color rgb="FF1F4E79"/>
      </left>
      <right style="thin">
        <color rgb="FF9DC3E6"/>
      </right>
      <top style="medium">
        <color rgb="FF1F4E79"/>
      </top>
      <bottom style="thin">
        <color rgb="FF9DC3E6"/>
      </bottom>
      <diagonal/>
    </border>
    <border diagonalUp="false" diagonalDown="false">
      <left style="thin">
        <color rgb="FF9DC3E6"/>
      </left>
      <right style="medium">
        <color rgb="FF1F4E79"/>
      </right>
      <top style="thin">
        <color rgb="FF9DC3E6"/>
      </top>
      <bottom style="thin">
        <color rgb="FF9DC3E6"/>
      </bottom>
      <diagonal/>
    </border>
    <border diagonalUp="false" diagonalDown="false">
      <left style="medium">
        <color rgb="FF1F4E79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9" min="9" style="1" width="4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/>
      <c r="D4" s="3"/>
      <c r="E4" s="3"/>
      <c r="F4" s="3"/>
      <c r="G4" s="3"/>
      <c r="H4" s="3"/>
    </row>
    <row r="5" customFormat="false" ht="7.5" hidden="false" customHeight="true" outlineLevel="0" collapsed="false"/>
    <row r="6" customFormat="false" ht="24" hidden="false" customHeight="true" outlineLevel="0" collapsed="false">
      <c r="B6" s="4" t="s">
        <v>2</v>
      </c>
      <c r="C6" s="5" t="s">
        <v>3</v>
      </c>
      <c r="E6" s="4" t="s">
        <v>4</v>
      </c>
      <c r="F6" s="5" t="s">
        <v>5</v>
      </c>
    </row>
    <row r="7" customFormat="false" ht="24" hidden="false" customHeight="true" outlineLevel="0" collapsed="false">
      <c r="B7" s="4" t="s">
        <v>6</v>
      </c>
      <c r="C7" s="5" t="s">
        <v>7</v>
      </c>
      <c r="E7" s="4" t="s">
        <v>8</v>
      </c>
      <c r="F7" s="5" t="s">
        <v>9</v>
      </c>
    </row>
    <row r="8" customFormat="false" ht="24" hidden="false" customHeight="true" outlineLevel="0" collapsed="false">
      <c r="B8" s="4" t="s">
        <v>10</v>
      </c>
      <c r="C8" s="5" t="s">
        <v>11</v>
      </c>
      <c r="E8" s="4" t="s">
        <v>12</v>
      </c>
      <c r="F8" s="5" t="s">
        <v>13</v>
      </c>
    </row>
    <row r="9" customFormat="false" ht="24" hidden="false" customHeight="true" outlineLevel="0" collapsed="false">
      <c r="B9" s="4" t="s">
        <v>14</v>
      </c>
      <c r="C9" s="5" t="s">
        <v>15</v>
      </c>
      <c r="E9" s="4" t="s">
        <v>16</v>
      </c>
      <c r="F9" s="5" t="s">
        <v>17</v>
      </c>
    </row>
    <row r="10" customFormat="false" ht="24" hidden="false" customHeight="true" outlineLevel="0" collapsed="false">
      <c r="B10" s="4" t="s">
        <v>18</v>
      </c>
      <c r="C10" s="5" t="s">
        <v>19</v>
      </c>
      <c r="E10" s="4" t="s">
        <v>20</v>
      </c>
      <c r="F10" s="5" t="s">
        <v>21</v>
      </c>
    </row>
    <row r="11" customFormat="false" ht="7.5" hidden="false" customHeight="true" outlineLevel="0" collapsed="false"/>
    <row r="12" customFormat="false" ht="18" hidden="false" customHeight="true" outlineLevel="0" collapsed="false">
      <c r="B12" s="6" t="s">
        <v>22</v>
      </c>
      <c r="C12" s="6"/>
      <c r="D12" s="6"/>
      <c r="E12" s="6"/>
      <c r="F12" s="6"/>
      <c r="G12" s="6"/>
      <c r="H12" s="6"/>
    </row>
    <row r="13" customFormat="false" ht="18" hidden="false" customHeight="true" outlineLevel="0" collapsed="false">
      <c r="B13" s="6"/>
      <c r="C13" s="6"/>
      <c r="D13" s="6"/>
      <c r="E13" s="6"/>
      <c r="F13" s="6"/>
      <c r="G13" s="6"/>
      <c r="H13" s="6"/>
    </row>
    <row r="14" customFormat="false" ht="18" hidden="false" customHeight="true" outlineLevel="0" collapsed="false">
      <c r="B14" s="6"/>
      <c r="C14" s="6"/>
      <c r="D14" s="6"/>
      <c r="E14" s="6"/>
      <c r="F14" s="6"/>
      <c r="G14" s="6"/>
      <c r="H14" s="6"/>
    </row>
  </sheetData>
  <mergeCells count="3">
    <mergeCell ref="B2:H2"/>
    <mergeCell ref="B4:H4"/>
    <mergeCell ref="B12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4"/>
  </cols>
  <sheetData>
    <row r="1" customFormat="false" ht="9.75" hidden="false" customHeight="true" outlineLevel="0" collapsed="false"/>
    <row r="2" customFormat="false" ht="31.5" hidden="false" customHeight="true" outlineLevel="0" collapsed="false">
      <c r="B2" s="7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9" t="s">
        <v>29</v>
      </c>
    </row>
    <row r="3" customFormat="false" ht="51.75" hidden="false" customHeight="true" outlineLevel="0" collapsed="false">
      <c r="B3" s="10" t="s">
        <v>30</v>
      </c>
      <c r="C3" s="11" t="s">
        <v>31</v>
      </c>
      <c r="D3" s="12" t="s">
        <v>32</v>
      </c>
      <c r="E3" s="11" t="s">
        <v>33</v>
      </c>
      <c r="F3" s="11" t="s">
        <v>34</v>
      </c>
      <c r="G3" s="11" t="s">
        <v>35</v>
      </c>
      <c r="H3" s="13" t="s">
        <v>36</v>
      </c>
    </row>
    <row r="4" customFormat="false" ht="51.75" hidden="false" customHeight="true" outlineLevel="0" collapsed="false">
      <c r="B4" s="14"/>
      <c r="C4" s="15" t="s">
        <v>37</v>
      </c>
      <c r="D4" s="16" t="s">
        <v>38</v>
      </c>
      <c r="E4" s="15" t="s">
        <v>39</v>
      </c>
      <c r="F4" s="15" t="s">
        <v>40</v>
      </c>
      <c r="G4" s="15" t="s">
        <v>41</v>
      </c>
      <c r="H4" s="17" t="s">
        <v>42</v>
      </c>
    </row>
    <row r="5" customFormat="false" ht="51.75" hidden="false" customHeight="true" outlineLevel="0" collapsed="false">
      <c r="B5" s="14"/>
      <c r="C5" s="11" t="s">
        <v>43</v>
      </c>
      <c r="D5" s="12" t="s">
        <v>44</v>
      </c>
      <c r="E5" s="11" t="s">
        <v>45</v>
      </c>
      <c r="F5" s="11" t="s">
        <v>46</v>
      </c>
      <c r="G5" s="11" t="s">
        <v>47</v>
      </c>
      <c r="H5" s="13" t="s">
        <v>48</v>
      </c>
    </row>
    <row r="6" customFormat="false" ht="51.75" hidden="false" customHeight="true" outlineLevel="0" collapsed="false">
      <c r="B6" s="14"/>
      <c r="C6" s="15" t="s">
        <v>49</v>
      </c>
      <c r="D6" s="16" t="s">
        <v>50</v>
      </c>
      <c r="E6" s="15" t="s">
        <v>51</v>
      </c>
      <c r="F6" s="15" t="s">
        <v>52</v>
      </c>
      <c r="G6" s="15" t="s">
        <v>47</v>
      </c>
      <c r="H6" s="17" t="s">
        <v>53</v>
      </c>
    </row>
    <row r="7" customFormat="false" ht="51.75" hidden="false" customHeight="true" outlineLevel="0" collapsed="false">
      <c r="B7" s="14"/>
      <c r="C7" s="11" t="s">
        <v>54</v>
      </c>
      <c r="D7" s="12" t="s">
        <v>55</v>
      </c>
      <c r="E7" s="11" t="s">
        <v>56</v>
      </c>
      <c r="F7" s="11" t="s">
        <v>57</v>
      </c>
      <c r="G7" s="11" t="s">
        <v>58</v>
      </c>
      <c r="H7" s="13" t="s">
        <v>59</v>
      </c>
    </row>
    <row r="8" customFormat="false" ht="51.75" hidden="false" customHeight="true" outlineLevel="0" collapsed="false">
      <c r="B8" s="14"/>
      <c r="C8" s="15" t="s">
        <v>60</v>
      </c>
      <c r="D8" s="16" t="s">
        <v>61</v>
      </c>
      <c r="E8" s="15" t="s">
        <v>62</v>
      </c>
      <c r="F8" s="15" t="s">
        <v>63</v>
      </c>
      <c r="G8" s="15" t="s">
        <v>35</v>
      </c>
      <c r="H8" s="17" t="s">
        <v>64</v>
      </c>
    </row>
    <row r="9" customFormat="false" ht="51.75" hidden="false" customHeight="true" outlineLevel="0" collapsed="false">
      <c r="B9" s="14"/>
      <c r="C9" s="11" t="s">
        <v>65</v>
      </c>
      <c r="D9" s="12" t="s">
        <v>66</v>
      </c>
      <c r="E9" s="11" t="s">
        <v>67</v>
      </c>
      <c r="F9" s="11" t="s">
        <v>68</v>
      </c>
      <c r="G9" s="11" t="s">
        <v>69</v>
      </c>
      <c r="H9" s="13" t="s">
        <v>70</v>
      </c>
    </row>
    <row r="10" customFormat="false" ht="51.75" hidden="false" customHeight="true" outlineLevel="0" collapsed="false">
      <c r="B10" s="14"/>
      <c r="C10" s="15" t="s">
        <v>71</v>
      </c>
      <c r="D10" s="16" t="s">
        <v>72</v>
      </c>
      <c r="E10" s="15" t="s">
        <v>73</v>
      </c>
      <c r="F10" s="15" t="s">
        <v>74</v>
      </c>
      <c r="G10" s="15" t="s">
        <v>75</v>
      </c>
      <c r="H10" s="17" t="s">
        <v>76</v>
      </c>
    </row>
    <row r="11" customFormat="false" ht="51.75" hidden="false" customHeight="true" outlineLevel="0" collapsed="false">
      <c r="B11" s="10" t="s">
        <v>77</v>
      </c>
      <c r="C11" s="11" t="s">
        <v>78</v>
      </c>
      <c r="D11" s="12" t="s">
        <v>79</v>
      </c>
      <c r="E11" s="11" t="s">
        <v>80</v>
      </c>
      <c r="F11" s="11" t="s">
        <v>81</v>
      </c>
      <c r="G11" s="11" t="s">
        <v>35</v>
      </c>
      <c r="H11" s="13" t="s">
        <v>35</v>
      </c>
    </row>
    <row r="12" customFormat="false" ht="51.75" hidden="false" customHeight="true" outlineLevel="0" collapsed="false">
      <c r="B12" s="14"/>
      <c r="C12" s="15" t="s">
        <v>43</v>
      </c>
      <c r="D12" s="16" t="s">
        <v>82</v>
      </c>
      <c r="E12" s="15" t="s">
        <v>83</v>
      </c>
      <c r="F12" s="15" t="s">
        <v>84</v>
      </c>
      <c r="G12" s="15" t="s">
        <v>75</v>
      </c>
      <c r="H12" s="17" t="s">
        <v>85</v>
      </c>
    </row>
    <row r="13" customFormat="false" ht="51.75" hidden="false" customHeight="true" outlineLevel="0" collapsed="false">
      <c r="B13" s="14"/>
      <c r="C13" s="11" t="s">
        <v>86</v>
      </c>
      <c r="D13" s="12" t="s">
        <v>87</v>
      </c>
      <c r="E13" s="11" t="s">
        <v>88</v>
      </c>
      <c r="F13" s="11" t="s">
        <v>89</v>
      </c>
      <c r="G13" s="11" t="s">
        <v>75</v>
      </c>
      <c r="H13" s="13" t="s">
        <v>90</v>
      </c>
    </row>
    <row r="14" customFormat="false" ht="51.75" hidden="false" customHeight="true" outlineLevel="0" collapsed="false">
      <c r="B14" s="14"/>
      <c r="C14" s="15" t="s">
        <v>91</v>
      </c>
      <c r="D14" s="16" t="s">
        <v>92</v>
      </c>
      <c r="E14" s="15" t="s">
        <v>93</v>
      </c>
      <c r="F14" s="15" t="s">
        <v>94</v>
      </c>
      <c r="G14" s="15" t="s">
        <v>35</v>
      </c>
      <c r="H14" s="17" t="s">
        <v>95</v>
      </c>
    </row>
    <row r="15" customFormat="false" ht="51.75" hidden="false" customHeight="true" outlineLevel="0" collapsed="false">
      <c r="B15" s="14"/>
      <c r="C15" s="11" t="s">
        <v>96</v>
      </c>
      <c r="D15" s="12" t="s">
        <v>97</v>
      </c>
      <c r="E15" s="11" t="s">
        <v>98</v>
      </c>
      <c r="F15" s="11" t="s">
        <v>99</v>
      </c>
      <c r="G15" s="11" t="s">
        <v>69</v>
      </c>
      <c r="H15" s="13" t="s">
        <v>35</v>
      </c>
    </row>
    <row r="16" customFormat="false" ht="51.75" hidden="false" customHeight="true" outlineLevel="0" collapsed="false">
      <c r="B16" s="14"/>
      <c r="C16" s="15" t="s">
        <v>100</v>
      </c>
      <c r="D16" s="16" t="s">
        <v>101</v>
      </c>
      <c r="E16" s="15" t="s">
        <v>102</v>
      </c>
      <c r="F16" s="15" t="s">
        <v>103</v>
      </c>
      <c r="G16" s="15" t="s">
        <v>69</v>
      </c>
      <c r="H16" s="17" t="s">
        <v>104</v>
      </c>
    </row>
    <row r="17" customFormat="false" ht="51.75" hidden="false" customHeight="true" outlineLevel="0" collapsed="false">
      <c r="B17" s="10" t="s">
        <v>105</v>
      </c>
      <c r="C17" s="11" t="s">
        <v>106</v>
      </c>
      <c r="D17" s="12" t="s">
        <v>107</v>
      </c>
      <c r="E17" s="11" t="s">
        <v>108</v>
      </c>
      <c r="F17" s="11" t="s">
        <v>109</v>
      </c>
      <c r="G17" s="11" t="s">
        <v>75</v>
      </c>
      <c r="H17" s="13" t="s">
        <v>110</v>
      </c>
    </row>
    <row r="18" customFormat="false" ht="51.75" hidden="false" customHeight="true" outlineLevel="0" collapsed="false">
      <c r="B18" s="14"/>
      <c r="C18" s="15" t="s">
        <v>111</v>
      </c>
      <c r="D18" s="16" t="s">
        <v>112</v>
      </c>
      <c r="E18" s="15" t="s">
        <v>113</v>
      </c>
      <c r="F18" s="15" t="s">
        <v>114</v>
      </c>
      <c r="G18" s="15" t="s">
        <v>69</v>
      </c>
      <c r="H18" s="17" t="s">
        <v>115</v>
      </c>
    </row>
    <row r="19" customFormat="false" ht="51.75" hidden="false" customHeight="true" outlineLevel="0" collapsed="false">
      <c r="B19" s="14"/>
      <c r="C19" s="11" t="s">
        <v>116</v>
      </c>
      <c r="D19" s="12" t="s">
        <v>117</v>
      </c>
      <c r="E19" s="11" t="s">
        <v>118</v>
      </c>
      <c r="F19" s="11" t="s">
        <v>114</v>
      </c>
      <c r="G19" s="11" t="s">
        <v>35</v>
      </c>
      <c r="H19" s="13" t="s">
        <v>119</v>
      </c>
    </row>
    <row r="20" customFormat="false" ht="51.75" hidden="false" customHeight="true" outlineLevel="0" collapsed="false">
      <c r="B20" s="14"/>
      <c r="C20" s="15" t="s">
        <v>120</v>
      </c>
      <c r="D20" s="16" t="s">
        <v>121</v>
      </c>
      <c r="E20" s="15" t="s">
        <v>122</v>
      </c>
      <c r="F20" s="15" t="s">
        <v>123</v>
      </c>
      <c r="G20" s="15" t="s">
        <v>124</v>
      </c>
      <c r="H20" s="17" t="s">
        <v>125</v>
      </c>
    </row>
    <row r="21" customFormat="false" ht="51.75" hidden="false" customHeight="true" outlineLevel="0" collapsed="false">
      <c r="B21" s="14"/>
      <c r="C21" s="11" t="s">
        <v>71</v>
      </c>
      <c r="D21" s="12" t="s">
        <v>126</v>
      </c>
      <c r="E21" s="11" t="s">
        <v>127</v>
      </c>
      <c r="F21" s="11" t="s">
        <v>128</v>
      </c>
      <c r="G21" s="11" t="s">
        <v>129</v>
      </c>
      <c r="H21" s="13" t="s">
        <v>130</v>
      </c>
    </row>
    <row r="22" customFormat="false" ht="51.75" hidden="false" customHeight="true" outlineLevel="0" collapsed="false">
      <c r="B22" s="10" t="s">
        <v>131</v>
      </c>
      <c r="C22" s="15" t="s">
        <v>132</v>
      </c>
      <c r="D22" s="16" t="s">
        <v>133</v>
      </c>
      <c r="E22" s="15" t="s">
        <v>134</v>
      </c>
      <c r="F22" s="15" t="s">
        <v>114</v>
      </c>
      <c r="G22" s="15" t="s">
        <v>69</v>
      </c>
      <c r="H22" s="17" t="s">
        <v>135</v>
      </c>
    </row>
    <row r="23" customFormat="false" ht="51.75" hidden="false" customHeight="true" outlineLevel="0" collapsed="false">
      <c r="B23" s="14"/>
      <c r="C23" s="11" t="s">
        <v>91</v>
      </c>
      <c r="D23" s="12" t="s">
        <v>136</v>
      </c>
      <c r="E23" s="11" t="s">
        <v>137</v>
      </c>
      <c r="F23" s="11" t="s">
        <v>138</v>
      </c>
      <c r="G23" s="11" t="s">
        <v>69</v>
      </c>
      <c r="H23" s="13" t="s">
        <v>35</v>
      </c>
    </row>
    <row r="24" customFormat="false" ht="51.75" hidden="false" customHeight="true" outlineLevel="0" collapsed="false">
      <c r="B24" s="14"/>
      <c r="C24" s="15" t="s">
        <v>96</v>
      </c>
      <c r="D24" s="16" t="s">
        <v>139</v>
      </c>
      <c r="E24" s="15" t="s">
        <v>140</v>
      </c>
      <c r="F24" s="15" t="s">
        <v>141</v>
      </c>
      <c r="G24" s="15" t="s">
        <v>75</v>
      </c>
      <c r="H24" s="17" t="s">
        <v>142</v>
      </c>
    </row>
    <row r="25" customFormat="false" ht="51.75" hidden="false" customHeight="true" outlineLevel="0" collapsed="false">
      <c r="B25" s="14"/>
      <c r="C25" s="11" t="s">
        <v>143</v>
      </c>
      <c r="D25" s="12" t="s">
        <v>144</v>
      </c>
      <c r="E25" s="11" t="s">
        <v>145</v>
      </c>
      <c r="F25" s="11" t="s">
        <v>146</v>
      </c>
      <c r="G25" s="11" t="s">
        <v>58</v>
      </c>
      <c r="H25" s="13" t="s">
        <v>35</v>
      </c>
    </row>
    <row r="26" customFormat="false" ht="51.75" hidden="false" customHeight="true" outlineLevel="0" collapsed="false">
      <c r="B26" s="10" t="s">
        <v>147</v>
      </c>
      <c r="C26" s="15" t="s">
        <v>148</v>
      </c>
      <c r="D26" s="16" t="s">
        <v>149</v>
      </c>
      <c r="E26" s="15" t="s">
        <v>150</v>
      </c>
      <c r="F26" s="15" t="s">
        <v>63</v>
      </c>
      <c r="G26" s="15" t="s">
        <v>35</v>
      </c>
      <c r="H26" s="17" t="s">
        <v>151</v>
      </c>
    </row>
    <row r="27" customFormat="false" ht="51.75" hidden="false" customHeight="true" outlineLevel="0" collapsed="false">
      <c r="B27" s="14"/>
      <c r="C27" s="11" t="s">
        <v>78</v>
      </c>
      <c r="D27" s="12" t="s">
        <v>152</v>
      </c>
      <c r="E27" s="11" t="s">
        <v>153</v>
      </c>
      <c r="F27" s="11" t="s">
        <v>154</v>
      </c>
      <c r="G27" s="11" t="s">
        <v>41</v>
      </c>
      <c r="H27" s="13" t="s">
        <v>155</v>
      </c>
    </row>
    <row r="28" customFormat="false" ht="51.75" hidden="false" customHeight="true" outlineLevel="0" collapsed="false">
      <c r="B28" s="14"/>
      <c r="C28" s="15" t="s">
        <v>132</v>
      </c>
      <c r="D28" s="16" t="s">
        <v>156</v>
      </c>
      <c r="E28" s="15" t="s">
        <v>157</v>
      </c>
      <c r="F28" s="15" t="s">
        <v>158</v>
      </c>
      <c r="G28" s="15" t="s">
        <v>47</v>
      </c>
      <c r="H28" s="17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4"/>
  </cols>
  <sheetData>
    <row r="2" customFormat="false" ht="31.5" hidden="false" customHeight="true" outlineLevel="0" collapsed="false">
      <c r="B2" s="7" t="s">
        <v>160</v>
      </c>
      <c r="C2" s="8" t="s">
        <v>161</v>
      </c>
      <c r="D2" s="8" t="s">
        <v>162</v>
      </c>
      <c r="E2" s="8" t="s">
        <v>163</v>
      </c>
      <c r="F2" s="8" t="s">
        <v>164</v>
      </c>
      <c r="G2" s="8" t="s">
        <v>165</v>
      </c>
      <c r="H2" s="9" t="s">
        <v>29</v>
      </c>
    </row>
    <row r="3" customFormat="false" ht="45.75" hidden="false" customHeight="true" outlineLevel="0" collapsed="false">
      <c r="B3" s="18" t="s">
        <v>166</v>
      </c>
      <c r="C3" s="11" t="s">
        <v>167</v>
      </c>
      <c r="D3" s="11" t="s">
        <v>168</v>
      </c>
      <c r="E3" s="11" t="s">
        <v>169</v>
      </c>
      <c r="F3" s="11" t="n">
        <f aca="false">D4*E4</f>
        <v>6600000</v>
      </c>
      <c r="G3" s="11" t="s">
        <v>170</v>
      </c>
      <c r="H3" s="13" t="s">
        <v>171</v>
      </c>
    </row>
    <row r="4" customFormat="false" ht="45.75" hidden="false" customHeight="true" outlineLevel="0" collapsed="false">
      <c r="B4" s="19"/>
      <c r="C4" s="15" t="s">
        <v>172</v>
      </c>
      <c r="D4" s="15" t="s">
        <v>168</v>
      </c>
      <c r="E4" s="15" t="s">
        <v>173</v>
      </c>
      <c r="F4" s="15" t="n">
        <f aca="false">D5*E5</f>
        <v>4200000</v>
      </c>
      <c r="G4" s="15" t="s">
        <v>170</v>
      </c>
      <c r="H4" s="17" t="s">
        <v>174</v>
      </c>
    </row>
    <row r="5" customFormat="false" ht="45.75" hidden="false" customHeight="true" outlineLevel="0" collapsed="false">
      <c r="B5" s="18" t="s">
        <v>175</v>
      </c>
      <c r="C5" s="11" t="s">
        <v>176</v>
      </c>
      <c r="D5" s="11" t="s">
        <v>13</v>
      </c>
      <c r="E5" s="11" t="s">
        <v>177</v>
      </c>
      <c r="F5" s="11" t="n">
        <f aca="false">D6*E6</f>
        <v>200000</v>
      </c>
      <c r="G5" s="11" t="s">
        <v>178</v>
      </c>
      <c r="H5" s="13" t="s">
        <v>179</v>
      </c>
    </row>
    <row r="6" customFormat="false" ht="45.75" hidden="false" customHeight="true" outlineLevel="0" collapsed="false">
      <c r="B6" s="19"/>
      <c r="C6" s="15" t="s">
        <v>180</v>
      </c>
      <c r="D6" s="15" t="s">
        <v>13</v>
      </c>
      <c r="E6" s="15" t="s">
        <v>181</v>
      </c>
      <c r="F6" s="15" t="n">
        <f aca="false">D7*E7</f>
        <v>600000</v>
      </c>
      <c r="G6" s="15" t="s">
        <v>170</v>
      </c>
      <c r="H6" s="17" t="s">
        <v>182</v>
      </c>
    </row>
    <row r="7" customFormat="false" ht="45.75" hidden="false" customHeight="true" outlineLevel="0" collapsed="false">
      <c r="B7" s="18" t="s">
        <v>183</v>
      </c>
      <c r="C7" s="11" t="s">
        <v>184</v>
      </c>
      <c r="D7" s="11" t="s">
        <v>185</v>
      </c>
      <c r="E7" s="11" t="s">
        <v>186</v>
      </c>
      <c r="F7" s="11" t="n">
        <f aca="false">D8*E8</f>
        <v>300000</v>
      </c>
      <c r="G7" s="11" t="s">
        <v>170</v>
      </c>
      <c r="H7" s="13" t="s">
        <v>187</v>
      </c>
    </row>
    <row r="8" customFormat="false" ht="45.75" hidden="false" customHeight="true" outlineLevel="0" collapsed="false">
      <c r="B8" s="19"/>
      <c r="C8" s="15" t="s">
        <v>188</v>
      </c>
      <c r="D8" s="15" t="s">
        <v>185</v>
      </c>
      <c r="E8" s="15" t="s">
        <v>189</v>
      </c>
      <c r="F8" s="15" t="n">
        <f aca="false">D9*E9</f>
        <v>500000</v>
      </c>
      <c r="G8" s="15" t="s">
        <v>170</v>
      </c>
      <c r="H8" s="17" t="s">
        <v>190</v>
      </c>
    </row>
    <row r="9" customFormat="false" ht="45.75" hidden="false" customHeight="true" outlineLevel="0" collapsed="false">
      <c r="B9" s="20"/>
      <c r="C9" s="11" t="s">
        <v>191</v>
      </c>
      <c r="D9" s="11" t="s">
        <v>13</v>
      </c>
      <c r="E9" s="11" t="s">
        <v>192</v>
      </c>
      <c r="F9" s="11" t="n">
        <f aca="false">D10*E10</f>
        <v>240000</v>
      </c>
      <c r="G9" s="11" t="s">
        <v>170</v>
      </c>
      <c r="H9" s="13" t="s">
        <v>193</v>
      </c>
    </row>
    <row r="10" customFormat="false" ht="45.75" hidden="false" customHeight="true" outlineLevel="0" collapsed="false">
      <c r="B10" s="18" t="s">
        <v>194</v>
      </c>
      <c r="C10" s="15" t="s">
        <v>195</v>
      </c>
      <c r="D10" s="15" t="s">
        <v>168</v>
      </c>
      <c r="E10" s="15" t="s">
        <v>196</v>
      </c>
      <c r="F10" s="15" t="n">
        <f aca="false">D11*E11</f>
        <v>400000</v>
      </c>
      <c r="G10" s="15" t="s">
        <v>170</v>
      </c>
      <c r="H10" s="17" t="s">
        <v>197</v>
      </c>
    </row>
    <row r="11" customFormat="false" ht="45.75" hidden="false" customHeight="true" outlineLevel="0" collapsed="false">
      <c r="B11" s="20"/>
      <c r="C11" s="11" t="s">
        <v>198</v>
      </c>
      <c r="D11" s="11" t="s">
        <v>168</v>
      </c>
      <c r="E11" s="11" t="s">
        <v>199</v>
      </c>
      <c r="F11" s="11" t="n">
        <f aca="false">D12*E12</f>
        <v>600000</v>
      </c>
      <c r="G11" s="11" t="s">
        <v>170</v>
      </c>
      <c r="H11" s="13" t="s">
        <v>200</v>
      </c>
    </row>
    <row r="12" customFormat="false" ht="45.75" hidden="false" customHeight="true" outlineLevel="0" collapsed="false">
      <c r="B12" s="19"/>
      <c r="C12" s="15" t="s">
        <v>201</v>
      </c>
      <c r="D12" s="15" t="s">
        <v>168</v>
      </c>
      <c r="E12" s="15" t="s">
        <v>189</v>
      </c>
      <c r="F12" s="15" t="n">
        <f aca="false">D13*E13</f>
        <v>160000</v>
      </c>
      <c r="G12" s="15" t="s">
        <v>170</v>
      </c>
      <c r="H12" s="17" t="s">
        <v>200</v>
      </c>
    </row>
    <row r="13" customFormat="false" ht="45.75" hidden="false" customHeight="true" outlineLevel="0" collapsed="false">
      <c r="B13" s="18" t="s">
        <v>202</v>
      </c>
      <c r="C13" s="11" t="s">
        <v>203</v>
      </c>
      <c r="D13" s="11" t="s">
        <v>168</v>
      </c>
      <c r="E13" s="11" t="s">
        <v>204</v>
      </c>
      <c r="F13" s="11" t="n">
        <f aca="false">D14*E14</f>
        <v>480000</v>
      </c>
      <c r="G13" s="11" t="s">
        <v>170</v>
      </c>
      <c r="H13" s="13" t="s">
        <v>205</v>
      </c>
    </row>
    <row r="14" customFormat="false" ht="45.75" hidden="false" customHeight="true" outlineLevel="0" collapsed="false">
      <c r="B14" s="19"/>
      <c r="C14" s="15" t="s">
        <v>206</v>
      </c>
      <c r="D14" s="15" t="s">
        <v>168</v>
      </c>
      <c r="E14" s="15" t="s">
        <v>207</v>
      </c>
      <c r="F14" s="15" t="n">
        <f aca="false">D15*E15</f>
        <v>400000</v>
      </c>
      <c r="G14" s="15" t="s">
        <v>170</v>
      </c>
      <c r="H14" s="17" t="s">
        <v>208</v>
      </c>
    </row>
    <row r="15" customFormat="false" ht="45.75" hidden="false" customHeight="true" outlineLevel="0" collapsed="false">
      <c r="B15" s="20"/>
      <c r="C15" s="11" t="s">
        <v>209</v>
      </c>
      <c r="D15" s="11" t="s">
        <v>168</v>
      </c>
      <c r="E15" s="11" t="s">
        <v>199</v>
      </c>
      <c r="F15" s="11" t="n">
        <f aca="false">D16*E16</f>
        <v>200000</v>
      </c>
      <c r="G15" s="11" t="s">
        <v>170</v>
      </c>
      <c r="H15" s="13" t="s">
        <v>210</v>
      </c>
    </row>
    <row r="16" customFormat="false" ht="45.75" hidden="false" customHeight="true" outlineLevel="0" collapsed="false">
      <c r="B16" s="19"/>
      <c r="C16" s="15" t="s">
        <v>211</v>
      </c>
      <c r="D16" s="15" t="s">
        <v>168</v>
      </c>
      <c r="E16" s="15" t="s">
        <v>212</v>
      </c>
      <c r="F16" s="15" t="n">
        <f aca="false">D17*E17</f>
        <v>500000</v>
      </c>
      <c r="G16" s="15" t="s">
        <v>170</v>
      </c>
      <c r="H16" s="17" t="s">
        <v>213</v>
      </c>
    </row>
    <row r="17" customFormat="false" ht="45.75" hidden="false" customHeight="true" outlineLevel="0" collapsed="false">
      <c r="B17" s="18" t="s">
        <v>214</v>
      </c>
      <c r="C17" s="11" t="s">
        <v>215</v>
      </c>
      <c r="D17" s="11" t="s">
        <v>13</v>
      </c>
      <c r="E17" s="11" t="s">
        <v>192</v>
      </c>
      <c r="F17" s="11" t="n">
        <f aca="false">D18*E18</f>
        <v>1000000</v>
      </c>
      <c r="G17" s="11" t="s">
        <v>170</v>
      </c>
      <c r="H17" s="13" t="s">
        <v>216</v>
      </c>
    </row>
    <row r="18" customFormat="false" ht="45.75" hidden="false" customHeight="true" outlineLevel="0" collapsed="false">
      <c r="B18" s="19"/>
      <c r="C18" s="15" t="s">
        <v>217</v>
      </c>
      <c r="D18" s="15" t="s">
        <v>185</v>
      </c>
      <c r="E18" s="15" t="s">
        <v>192</v>
      </c>
      <c r="F18" s="15" t="n">
        <f aca="false">D19*E19</f>
        <v>1000000</v>
      </c>
      <c r="G18" s="15" t="s">
        <v>170</v>
      </c>
      <c r="H18" s="17" t="s">
        <v>218</v>
      </c>
    </row>
    <row r="19" customFormat="false" ht="45.75" hidden="false" customHeight="true" outlineLevel="0" collapsed="false">
      <c r="B19" s="18" t="s">
        <v>219</v>
      </c>
      <c r="C19" s="11" t="s">
        <v>220</v>
      </c>
      <c r="D19" s="11" t="s">
        <v>13</v>
      </c>
      <c r="E19" s="11" t="s">
        <v>221</v>
      </c>
      <c r="F19" s="11" t="n">
        <f aca="false">D20*E20</f>
        <v>0</v>
      </c>
      <c r="G19" s="11" t="s">
        <v>170</v>
      </c>
      <c r="H19" s="13" t="s">
        <v>222</v>
      </c>
    </row>
    <row r="20" customFormat="false" ht="30" hidden="false" customHeight="true" outlineLevel="0" collapsed="false">
      <c r="B20" s="21" t="s">
        <v>223</v>
      </c>
      <c r="C20" s="21"/>
      <c r="D20" s="21"/>
      <c r="E20" s="21"/>
      <c r="F20" s="22" t="n">
        <f aca="false">SUM(F3:F19)</f>
        <v>17380000</v>
      </c>
    </row>
    <row r="22" customFormat="false" ht="18" hidden="false" customHeight="true" outlineLevel="0" collapsed="false">
      <c r="B22" s="23" t="s">
        <v>224</v>
      </c>
      <c r="C22" s="23"/>
      <c r="D22" s="23"/>
      <c r="E22" s="23"/>
      <c r="F22" s="23"/>
      <c r="G22" s="23"/>
      <c r="H22" s="23"/>
    </row>
    <row r="23" customFormat="false" ht="18" hidden="false" customHeight="true" outlineLevel="0" collapsed="false">
      <c r="B23" s="23"/>
      <c r="C23" s="23"/>
      <c r="D23" s="23"/>
      <c r="E23" s="23"/>
      <c r="F23" s="23"/>
      <c r="G23" s="23"/>
      <c r="H23" s="23"/>
    </row>
    <row r="24" customFormat="false" ht="18" hidden="false" customHeight="true" outlineLevel="0" collapsed="false">
      <c r="B24" s="23"/>
      <c r="C24" s="23"/>
      <c r="D24" s="23"/>
      <c r="E24" s="23"/>
      <c r="F24" s="23"/>
      <c r="G24" s="23"/>
      <c r="H24" s="23"/>
    </row>
    <row r="25" customFormat="false" ht="18" hidden="false" customHeight="true" outlineLevel="0" collapsed="false">
      <c r="B25" s="23"/>
      <c r="C25" s="23"/>
      <c r="D25" s="23"/>
      <c r="E25" s="23"/>
      <c r="F25" s="23"/>
      <c r="G25" s="23"/>
      <c r="H25" s="23"/>
    </row>
  </sheetData>
  <mergeCells count="2">
    <mergeCell ref="B20:E20"/>
    <mergeCell ref="B22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4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"/>
  </cols>
  <sheetData>
    <row r="2" customFormat="false" ht="31.5" hidden="false" customHeight="true" outlineLevel="0" collapsed="false">
      <c r="B2" s="7" t="s">
        <v>225</v>
      </c>
      <c r="C2" s="8" t="s">
        <v>226</v>
      </c>
      <c r="D2" s="8" t="s">
        <v>162</v>
      </c>
      <c r="E2" s="9" t="s">
        <v>29</v>
      </c>
    </row>
    <row r="3" customFormat="false" ht="24" hidden="false" customHeight="true" outlineLevel="0" collapsed="false">
      <c r="B3" s="24" t="s">
        <v>227</v>
      </c>
      <c r="C3" s="24"/>
      <c r="D3" s="24"/>
      <c r="E3" s="24"/>
    </row>
    <row r="4" customFormat="false" ht="21.75" hidden="false" customHeight="true" outlineLevel="0" collapsed="false">
      <c r="B4" s="19" t="s">
        <v>228</v>
      </c>
      <c r="C4" s="15" t="s">
        <v>229</v>
      </c>
      <c r="D4" s="15" t="s">
        <v>230</v>
      </c>
      <c r="E4" s="17" t="s">
        <v>231</v>
      </c>
    </row>
    <row r="5" customFormat="false" ht="21.75" hidden="false" customHeight="true" outlineLevel="0" collapsed="false">
      <c r="B5" s="20" t="s">
        <v>228</v>
      </c>
      <c r="C5" s="11" t="s">
        <v>232</v>
      </c>
      <c r="D5" s="11" t="s">
        <v>230</v>
      </c>
      <c r="E5" s="13" t="s">
        <v>233</v>
      </c>
    </row>
    <row r="6" customFormat="false" ht="21.75" hidden="false" customHeight="true" outlineLevel="0" collapsed="false">
      <c r="B6" s="19" t="s">
        <v>228</v>
      </c>
      <c r="C6" s="15" t="s">
        <v>234</v>
      </c>
      <c r="D6" s="15" t="s">
        <v>235</v>
      </c>
      <c r="E6" s="17" t="s">
        <v>236</v>
      </c>
    </row>
    <row r="7" customFormat="false" ht="21.75" hidden="false" customHeight="true" outlineLevel="0" collapsed="false">
      <c r="B7" s="20" t="s">
        <v>228</v>
      </c>
      <c r="C7" s="11" t="s">
        <v>237</v>
      </c>
      <c r="D7" s="11" t="s">
        <v>238</v>
      </c>
      <c r="E7" s="13" t="s">
        <v>239</v>
      </c>
    </row>
    <row r="8" customFormat="false" ht="21.75" hidden="false" customHeight="true" outlineLevel="0" collapsed="false">
      <c r="B8" s="19" t="s">
        <v>228</v>
      </c>
      <c r="C8" s="15" t="s">
        <v>240</v>
      </c>
      <c r="D8" s="15" t="s">
        <v>241</v>
      </c>
      <c r="E8" s="17"/>
    </row>
    <row r="9" customFormat="false" ht="24" hidden="false" customHeight="true" outlineLevel="0" collapsed="false">
      <c r="B9" s="24" t="s">
        <v>242</v>
      </c>
      <c r="C9" s="24"/>
      <c r="D9" s="24"/>
      <c r="E9" s="24"/>
    </row>
    <row r="10" customFormat="false" ht="21.75" hidden="false" customHeight="true" outlineLevel="0" collapsed="false">
      <c r="B10" s="19" t="s">
        <v>228</v>
      </c>
      <c r="C10" s="15" t="s">
        <v>243</v>
      </c>
      <c r="D10" s="15" t="s">
        <v>244</v>
      </c>
      <c r="E10" s="17" t="s">
        <v>245</v>
      </c>
    </row>
    <row r="11" customFormat="false" ht="21.75" hidden="false" customHeight="true" outlineLevel="0" collapsed="false">
      <c r="B11" s="20" t="s">
        <v>228</v>
      </c>
      <c r="C11" s="11" t="s">
        <v>246</v>
      </c>
      <c r="D11" s="11" t="s">
        <v>247</v>
      </c>
      <c r="E11" s="13"/>
    </row>
    <row r="12" customFormat="false" ht="21.75" hidden="false" customHeight="true" outlineLevel="0" collapsed="false">
      <c r="B12" s="19" t="s">
        <v>228</v>
      </c>
      <c r="C12" s="15" t="s">
        <v>248</v>
      </c>
      <c r="D12" s="15" t="s">
        <v>249</v>
      </c>
      <c r="E12" s="17"/>
    </row>
    <row r="13" customFormat="false" ht="21.75" hidden="false" customHeight="true" outlineLevel="0" collapsed="false">
      <c r="B13" s="20" t="s">
        <v>228</v>
      </c>
      <c r="C13" s="11" t="s">
        <v>250</v>
      </c>
      <c r="D13" s="11" t="s">
        <v>13</v>
      </c>
      <c r="E13" s="13" t="s">
        <v>251</v>
      </c>
    </row>
    <row r="14" customFormat="false" ht="24" hidden="false" customHeight="true" outlineLevel="0" collapsed="false">
      <c r="B14" s="24" t="s">
        <v>252</v>
      </c>
      <c r="C14" s="24"/>
      <c r="D14" s="24"/>
      <c r="E14" s="24"/>
    </row>
    <row r="15" customFormat="false" ht="21.75" hidden="false" customHeight="true" outlineLevel="0" collapsed="false">
      <c r="B15" s="20" t="s">
        <v>228</v>
      </c>
      <c r="C15" s="11" t="s">
        <v>253</v>
      </c>
      <c r="D15" s="11" t="s">
        <v>254</v>
      </c>
      <c r="E15" s="13"/>
    </row>
    <row r="16" customFormat="false" ht="21.75" hidden="false" customHeight="true" outlineLevel="0" collapsed="false">
      <c r="B16" s="19" t="s">
        <v>228</v>
      </c>
      <c r="C16" s="15" t="s">
        <v>255</v>
      </c>
      <c r="D16" s="15" t="s">
        <v>256</v>
      </c>
      <c r="E16" s="17"/>
    </row>
    <row r="17" customFormat="false" ht="21.75" hidden="false" customHeight="true" outlineLevel="0" collapsed="false">
      <c r="B17" s="20" t="s">
        <v>228</v>
      </c>
      <c r="C17" s="11" t="s">
        <v>257</v>
      </c>
      <c r="D17" s="11" t="s">
        <v>258</v>
      </c>
      <c r="E17" s="13"/>
    </row>
    <row r="18" customFormat="false" ht="21.75" hidden="false" customHeight="true" outlineLevel="0" collapsed="false">
      <c r="B18" s="19" t="s">
        <v>228</v>
      </c>
      <c r="C18" s="15" t="s">
        <v>259</v>
      </c>
      <c r="D18" s="15" t="s">
        <v>260</v>
      </c>
      <c r="E18" s="17"/>
    </row>
    <row r="19" customFormat="false" ht="21.75" hidden="false" customHeight="true" outlineLevel="0" collapsed="false">
      <c r="B19" s="20" t="s">
        <v>228</v>
      </c>
      <c r="C19" s="11" t="s">
        <v>261</v>
      </c>
      <c r="D19" s="11" t="s">
        <v>13</v>
      </c>
      <c r="E19" s="13"/>
    </row>
    <row r="20" customFormat="false" ht="24" hidden="false" customHeight="true" outlineLevel="0" collapsed="false">
      <c r="B20" s="24" t="s">
        <v>262</v>
      </c>
      <c r="C20" s="24"/>
      <c r="D20" s="24"/>
      <c r="E20" s="24"/>
    </row>
    <row r="21" customFormat="false" ht="21.75" hidden="false" customHeight="true" outlineLevel="0" collapsed="false">
      <c r="B21" s="20" t="s">
        <v>228</v>
      </c>
      <c r="C21" s="11" t="s">
        <v>263</v>
      </c>
      <c r="D21" s="11" t="s">
        <v>264</v>
      </c>
      <c r="E21" s="13" t="s">
        <v>265</v>
      </c>
    </row>
    <row r="22" customFormat="false" ht="21.75" hidden="false" customHeight="true" outlineLevel="0" collapsed="false">
      <c r="B22" s="19" t="s">
        <v>228</v>
      </c>
      <c r="C22" s="15" t="s">
        <v>266</v>
      </c>
      <c r="D22" s="15" t="s">
        <v>13</v>
      </c>
      <c r="E22" s="17" t="s">
        <v>267</v>
      </c>
    </row>
    <row r="23" customFormat="false" ht="21.75" hidden="false" customHeight="true" outlineLevel="0" collapsed="false">
      <c r="B23" s="20" t="s">
        <v>228</v>
      </c>
      <c r="C23" s="11" t="s">
        <v>268</v>
      </c>
      <c r="D23" s="11" t="s">
        <v>269</v>
      </c>
      <c r="E23" s="13"/>
    </row>
    <row r="24" customFormat="false" ht="21.75" hidden="false" customHeight="true" outlineLevel="0" collapsed="false">
      <c r="B24" s="19" t="s">
        <v>228</v>
      </c>
      <c r="C24" s="15" t="s">
        <v>270</v>
      </c>
      <c r="D24" s="15" t="s">
        <v>185</v>
      </c>
      <c r="E24" s="17"/>
    </row>
    <row r="26" customFormat="false" ht="19.5" hidden="false" customHeight="true" outlineLevel="0" collapsed="false">
      <c r="B26" s="23" t="s">
        <v>271</v>
      </c>
      <c r="C26" s="23"/>
      <c r="D26" s="23"/>
      <c r="E26" s="23"/>
    </row>
    <row r="27" customFormat="false" ht="19.5" hidden="false" customHeight="true" outlineLevel="0" collapsed="false">
      <c r="B27" s="23"/>
      <c r="C27" s="23"/>
      <c r="D27" s="23"/>
      <c r="E27" s="23"/>
    </row>
  </sheetData>
  <mergeCells count="5">
    <mergeCell ref="B3:E3"/>
    <mergeCell ref="B9:E9"/>
    <mergeCell ref="B14:E14"/>
    <mergeCell ref="B20:E20"/>
    <mergeCell ref="B26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22"/>
    <col collapsed="false" customWidth="true" hidden="false" outlineLevel="0" max="5" min="4" style="1" width="18"/>
    <col collapsed="false" customWidth="true" hidden="false" outlineLevel="0" max="6" min="6" style="1" width="22"/>
    <col collapsed="false" customWidth="true" hidden="false" outlineLevel="0" max="7" min="7" style="1" width="4"/>
  </cols>
  <sheetData>
    <row r="2" customFormat="false" ht="31.5" hidden="false" customHeight="true" outlineLevel="0" collapsed="false">
      <c r="B2" s="7" t="s">
        <v>272</v>
      </c>
      <c r="C2" s="8" t="s">
        <v>273</v>
      </c>
      <c r="D2" s="8" t="s">
        <v>274</v>
      </c>
      <c r="E2" s="8" t="s">
        <v>275</v>
      </c>
      <c r="F2" s="9" t="s">
        <v>29</v>
      </c>
    </row>
    <row r="3" customFormat="false" ht="36" hidden="false" customHeight="true" outlineLevel="0" collapsed="false">
      <c r="B3" s="18" t="s">
        <v>276</v>
      </c>
      <c r="C3" s="11" t="s">
        <v>277</v>
      </c>
      <c r="D3" s="11" t="s">
        <v>278</v>
      </c>
      <c r="E3" s="11" t="s">
        <v>16</v>
      </c>
      <c r="F3" s="13" t="s">
        <v>279</v>
      </c>
    </row>
    <row r="4" customFormat="false" ht="36" hidden="false" customHeight="true" outlineLevel="0" collapsed="false">
      <c r="B4" s="18" t="s">
        <v>280</v>
      </c>
      <c r="C4" s="15" t="s">
        <v>281</v>
      </c>
      <c r="D4" s="15" t="s">
        <v>282</v>
      </c>
      <c r="E4" s="15" t="s">
        <v>283</v>
      </c>
      <c r="F4" s="17" t="s">
        <v>284</v>
      </c>
    </row>
    <row r="5" customFormat="false" ht="36" hidden="false" customHeight="true" outlineLevel="0" collapsed="false">
      <c r="B5" s="18" t="s">
        <v>285</v>
      </c>
      <c r="C5" s="11" t="s">
        <v>286</v>
      </c>
      <c r="D5" s="11" t="s">
        <v>21</v>
      </c>
      <c r="E5" s="11" t="s">
        <v>287</v>
      </c>
      <c r="F5" s="13" t="s">
        <v>288</v>
      </c>
    </row>
    <row r="6" customFormat="false" ht="36" hidden="false" customHeight="true" outlineLevel="0" collapsed="false">
      <c r="B6" s="18" t="s">
        <v>289</v>
      </c>
      <c r="C6" s="15" t="s">
        <v>290</v>
      </c>
      <c r="D6" s="15" t="s">
        <v>278</v>
      </c>
      <c r="E6" s="15" t="s">
        <v>291</v>
      </c>
      <c r="F6" s="17" t="s">
        <v>292</v>
      </c>
    </row>
    <row r="7" customFormat="false" ht="36" hidden="false" customHeight="true" outlineLevel="0" collapsed="false">
      <c r="B7" s="18" t="s">
        <v>293</v>
      </c>
      <c r="C7" s="11" t="s">
        <v>294</v>
      </c>
      <c r="D7" s="11" t="s">
        <v>21</v>
      </c>
      <c r="E7" s="11" t="s">
        <v>287</v>
      </c>
      <c r="F7" s="13" t="s">
        <v>295</v>
      </c>
    </row>
    <row r="8" customFormat="false" ht="36" hidden="false" customHeight="true" outlineLevel="0" collapsed="false">
      <c r="B8" s="18" t="s">
        <v>296</v>
      </c>
      <c r="C8" s="15" t="s">
        <v>297</v>
      </c>
      <c r="D8" s="15" t="s">
        <v>21</v>
      </c>
      <c r="E8" s="15" t="s">
        <v>287</v>
      </c>
      <c r="F8" s="17" t="s">
        <v>298</v>
      </c>
    </row>
    <row r="9" customFormat="false" ht="36" hidden="false" customHeight="true" outlineLevel="0" collapsed="false">
      <c r="B9" s="18" t="s">
        <v>299</v>
      </c>
      <c r="C9" s="11" t="s">
        <v>300</v>
      </c>
      <c r="D9" s="11" t="s">
        <v>35</v>
      </c>
      <c r="E9" s="11" t="s">
        <v>301</v>
      </c>
      <c r="F9" s="13" t="s">
        <v>302</v>
      </c>
    </row>
    <row r="10" customFormat="false" ht="36" hidden="false" customHeight="true" outlineLevel="0" collapsed="false">
      <c r="B10" s="18" t="s">
        <v>303</v>
      </c>
      <c r="C10" s="15" t="s">
        <v>304</v>
      </c>
      <c r="D10" s="15" t="s">
        <v>305</v>
      </c>
      <c r="E10" s="15" t="s">
        <v>35</v>
      </c>
      <c r="F10" s="17" t="s">
        <v>306</v>
      </c>
    </row>
    <row r="12" customFormat="false" ht="18" hidden="false" customHeight="true" outlineLevel="0" collapsed="false">
      <c r="B12" s="25" t="s">
        <v>307</v>
      </c>
      <c r="C12" s="25"/>
      <c r="D12" s="25"/>
      <c r="E12" s="25"/>
      <c r="F12" s="25"/>
    </row>
    <row r="13" customFormat="false" ht="18" hidden="false" customHeight="true" outlineLevel="0" collapsed="false">
      <c r="B13" s="25"/>
      <c r="C13" s="25"/>
      <c r="D13" s="25"/>
      <c r="E13" s="25"/>
      <c r="F13" s="25"/>
    </row>
    <row r="14" customFormat="false" ht="18" hidden="false" customHeight="true" outlineLevel="0" collapsed="false">
      <c r="B14" s="25"/>
      <c r="C14" s="25"/>
      <c r="D14" s="25"/>
      <c r="E14" s="25"/>
      <c r="F14" s="25"/>
    </row>
    <row r="15" customFormat="false" ht="18" hidden="false" customHeight="true" outlineLevel="0" collapsed="false">
      <c r="B15" s="25"/>
      <c r="C15" s="25"/>
      <c r="D15" s="25"/>
      <c r="E15" s="25"/>
      <c r="F15" s="25"/>
    </row>
    <row r="16" customFormat="false" ht="18" hidden="false" customHeight="true" outlineLevel="0" collapsed="false">
      <c r="B16" s="25"/>
      <c r="C16" s="25"/>
      <c r="D16" s="25"/>
      <c r="E16" s="25"/>
      <c r="F16" s="25"/>
    </row>
  </sheetData>
  <mergeCells count="1">
    <mergeCell ref="B12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2026-04-10T06:51:42Z</dcterms:created>
  <dc:creator>openpyxl</dc:creator>
  <dc:description/>
  <dc:language>en-US</dc:language>
  <cp:lastModifiedBy/>
  <dcterms:modified xsi:type="dcterms:W3CDTF">2026-04-10T06:51:56Z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